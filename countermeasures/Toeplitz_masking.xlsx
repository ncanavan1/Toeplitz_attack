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<sst xmlns="http://schemas.openxmlformats.org/spreadsheetml/2006/main" count="97" uniqueCount="33">
  <si>
    <t xml:space="preserve">Additive masking scheme for butterfly of Toeplitz for SCA countermeasure (in first stage and beyond)</t>
  </si>
  <si>
    <t xml:space="preserve">omega</t>
  </si>
  <si>
    <t xml:space="preserve">a0</t>
  </si>
  <si>
    <t xml:space="preserve">a1</t>
  </si>
  <si>
    <t xml:space="preserve">b0</t>
  </si>
  <si>
    <t xml:space="preserve">b1</t>
  </si>
  <si>
    <t xml:space="preserve">ma0</t>
  </si>
  <si>
    <t xml:space="preserve">ma1</t>
  </si>
  <si>
    <t xml:space="preserve">a0m</t>
  </si>
  <si>
    <t xml:space="preserve">a1m</t>
  </si>
  <si>
    <t xml:space="preserve">b0m</t>
  </si>
  <si>
    <t xml:space="preserve">b1m</t>
  </si>
  <si>
    <t xml:space="preserve">bma0</t>
  </si>
  <si>
    <t xml:space="preserve">bma1</t>
  </si>
  <si>
    <t xml:space="preserve">b0m xor bma0</t>
  </si>
  <si>
    <t xml:space="preserve">b1m xor bma1</t>
  </si>
  <si>
    <t xml:space="preserve">b0m-bma0</t>
  </si>
  <si>
    <t xml:space="preserve">b1m-bma1</t>
  </si>
  <si>
    <t xml:space="preserve">check b0</t>
  </si>
  <si>
    <t xml:space="preserve">check b1</t>
  </si>
  <si>
    <t xml:space="preserve">omega: original omega</t>
  </si>
  <si>
    <t xml:space="preserve">ma0: mask value for a0</t>
  </si>
  <si>
    <t xml:space="preserve">ma1: mask value for a1</t>
  </si>
  <si>
    <t xml:space="preserve">a0m: masked value of a0 = a0 + ma0</t>
  </si>
  <si>
    <t xml:space="preserve">a1m: masked value of a1 = a1 + ma1</t>
  </si>
  <si>
    <t xml:space="preserve">b0: prefered output (without masking) = a0 + omega*a1</t>
  </si>
  <si>
    <t xml:space="preserve">b1: prefered output (without masking) = a0 - omega*a1</t>
  </si>
  <si>
    <t xml:space="preserve">b0m: b0 output if mask is applied (inputs are a0m and a1m) = a0m + omega*a1m</t>
  </si>
  <si>
    <t xml:space="preserve">b1m: b1 output if mask is applied (inputs are a0m and a1m) = a0m - omega*a1m</t>
  </si>
  <si>
    <t xml:space="preserve">bma0: output of butterfly applying to mask (ma0 and ma1) = ma0 + omega*ma1</t>
  </si>
  <si>
    <t xml:space="preserve">bma1: output of butterfly applying to mask (ma0 and ma1) = ma0 - omega*ma1</t>
  </si>
  <si>
    <t xml:space="preserve">b0m-bma0: unmask the masked output to receive the expected output b0 = b0m - bma0</t>
  </si>
  <si>
    <t xml:space="preserve">b1m-bma1: unmask the masked output to receive the expected output b1 = b1m - bma1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</si>
</sst>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6.55"/>
    <col collapsed="false" customWidth="true" hidden="false" outlineLevel="0" max="3" min="2" style="0" width="3"/>
    <col collapsed="false" customWidth="true" hidden="false" outlineLevel="0" max="4" min="4" style="0" width="5"/>
    <col collapsed="false" customWidth="true" hidden="false" outlineLevel="0" max="5" min="5" style="0" width="5.66"/>
    <col collapsed="false" customWidth="true" hidden="false" outlineLevel="0" max="9" min="6" style="0" width="4.55"/>
    <col collapsed="false" customWidth="true" hidden="false" outlineLevel="0" max="10" min="10" style="0" width="6"/>
    <col collapsed="false" customWidth="true" hidden="false" outlineLevel="0" max="11" min="11" style="0" width="6.66"/>
    <col collapsed="false" customWidth="true" hidden="false" outlineLevel="0" max="12" min="12" style="0" width="2.66"/>
    <col collapsed="false" customWidth="true" hidden="false" outlineLevel="0" max="13" min="13" style="0" width="6"/>
    <col collapsed="false" customWidth="true" hidden="false" outlineLevel="0" max="14" min="14" style="0" width="6.66"/>
    <col collapsed="false" customWidth="true" hidden="false" outlineLevel="0" max="15" min="15" style="0" width="2.66"/>
    <col collapsed="false" customWidth="true" hidden="false" outlineLevel="0" max="17" min="16" style="0" width="9.78"/>
    <col collapsed="false" customWidth="true" hidden="false" outlineLevel="0" max="18" min="18" style="0" width="2.89"/>
    <col collapsed="false" customWidth="true" hidden="false" outlineLevel="0" max="19" min="19" style="0" width="10.11"/>
    <col collapsed="false" customWidth="true" hidden="false" outlineLevel="0" max="20" min="20" style="0" width="8.11"/>
    <col collapsed="false" customWidth="true" hidden="false" outlineLevel="0" max="21" min="21" style="0" width="9.78"/>
    <col collapsed="false" customWidth="true" hidden="false" outlineLevel="0" max="22" min="22" style="0" width="2.89"/>
    <col collapsed="false" customWidth="true" hidden="false" outlineLevel="0" max="24" min="23" style="0" width="12.66"/>
  </cols>
  <sheetData>
    <row r="1" customFormat="false" ht="14.25" hidden="false" customHeight="false" outlineLevel="0" collapsed="false">
      <c r="E1" s="0" t="s">
        <v>0</v>
      </c>
    </row>
    <row r="3" customFormat="false" ht="14.2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M3" s="0" t="s">
        <v>12</v>
      </c>
      <c r="N3" s="0" t="s">
        <v>13</v>
      </c>
      <c r="W3" s="0" t="s">
        <v>14</v>
      </c>
      <c r="X3" s="0" t="s">
        <v>15</v>
      </c>
    </row>
    <row r="4" customFormat="false" ht="14.25" hidden="false" customHeight="false" outlineLevel="0" collapsed="false">
      <c r="A4" s="0" t="n">
        <v>1</v>
      </c>
      <c r="B4" s="0" t="n">
        <v>0</v>
      </c>
      <c r="C4" s="0" t="n">
        <v>0</v>
      </c>
      <c r="D4" s="1" t="n">
        <f aca="false">B4+$A$4*C4</f>
        <v>0</v>
      </c>
      <c r="E4" s="1" t="n">
        <f aca="false">B4-$A$4*C4</f>
        <v>0</v>
      </c>
      <c r="F4" s="0" t="n">
        <v>0</v>
      </c>
      <c r="G4" s="0" t="n">
        <v>0</v>
      </c>
      <c r="H4" s="0" t="n">
        <f aca="false">INT(_xlfn.XOR(B4,F4))</f>
        <v>0</v>
      </c>
      <c r="I4" s="0" t="n">
        <f aca="false">INT(_xlfn.XOR(C4,G4))</f>
        <v>0</v>
      </c>
      <c r="J4" s="0" t="n">
        <f aca="false">H4+$A$4*I4</f>
        <v>0</v>
      </c>
      <c r="K4" s="0" t="n">
        <f aca="false">H4-$A$4*I4</f>
        <v>0</v>
      </c>
      <c r="M4" s="0" t="n">
        <f aca="false">F4+$A$4*G4</f>
        <v>0</v>
      </c>
      <c r="N4" s="0" t="n">
        <f aca="false">F4-$A$4*G4</f>
        <v>0</v>
      </c>
      <c r="W4" s="0" t="n">
        <f aca="false">_xlfn.BITXOR(J4,M4)</f>
        <v>0</v>
      </c>
      <c r="X4" s="0" t="n">
        <f aca="false">_xlfn.BITXOR(K4,N4)</f>
        <v>0</v>
      </c>
    </row>
    <row r="5" customFormat="false" ht="14.25" hidden="false" customHeight="false" outlineLevel="0" collapsed="false">
      <c r="B5" s="0" t="n">
        <v>0</v>
      </c>
      <c r="C5" s="0" t="n">
        <v>1</v>
      </c>
      <c r="D5" s="1" t="n">
        <f aca="false">B5+$A$4*C5</f>
        <v>1</v>
      </c>
      <c r="E5" s="1" t="n">
        <f aca="false">B5-$A$4*C5</f>
        <v>-1</v>
      </c>
      <c r="F5" s="0" t="n">
        <v>0</v>
      </c>
      <c r="G5" s="0" t="n">
        <v>0</v>
      </c>
      <c r="H5" s="0" t="n">
        <f aca="false">INT(_xlfn.XOR(B5,F5))</f>
        <v>0</v>
      </c>
      <c r="I5" s="0" t="n">
        <f aca="false">INT(_xlfn.XOR(C5,G5))</f>
        <v>1</v>
      </c>
      <c r="J5" s="0" t="n">
        <f aca="false">H5+$A$4*I5</f>
        <v>1</v>
      </c>
      <c r="K5" s="0" t="n">
        <f aca="false">H5-$A$4*I5</f>
        <v>-1</v>
      </c>
      <c r="M5" s="0" t="n">
        <f aca="false">F5+$A$4*G5</f>
        <v>0</v>
      </c>
      <c r="N5" s="0" t="n">
        <f aca="false">F5-$A$4*G5</f>
        <v>0</v>
      </c>
      <c r="W5" s="0" t="n">
        <f aca="false">_xlfn.BITXOR(J5,M5)</f>
        <v>1</v>
      </c>
      <c r="X5" s="0" t="e">
        <f aca="false">_xlfn.BITXOR(K5,N5)</f>
        <v>#VALUE!</v>
      </c>
    </row>
    <row r="6" customFormat="false" ht="14.25" hidden="false" customHeight="false" outlineLevel="0" collapsed="false">
      <c r="B6" s="0" t="n">
        <v>1</v>
      </c>
      <c r="C6" s="0" t="n">
        <v>0</v>
      </c>
      <c r="D6" s="1" t="n">
        <f aca="false">B6+$A$4*C6</f>
        <v>1</v>
      </c>
      <c r="E6" s="1" t="n">
        <f aca="false">B6-$A$4*C6</f>
        <v>1</v>
      </c>
      <c r="F6" s="0" t="n">
        <v>0</v>
      </c>
      <c r="G6" s="0" t="n">
        <v>0</v>
      </c>
      <c r="H6" s="0" t="n">
        <f aca="false">INT(_xlfn.XOR(B6,F6))</f>
        <v>1</v>
      </c>
      <c r="I6" s="0" t="n">
        <f aca="false">INT(_xlfn.XOR(C6,G6))</f>
        <v>0</v>
      </c>
      <c r="J6" s="0" t="n">
        <f aca="false">H6+$A$4*I6</f>
        <v>1</v>
      </c>
      <c r="K6" s="0" t="n">
        <f aca="false">H6-$A$4*I6</f>
        <v>1</v>
      </c>
      <c r="M6" s="0" t="n">
        <f aca="false">F6+$A$4*G6</f>
        <v>0</v>
      </c>
      <c r="N6" s="0" t="n">
        <f aca="false">F6-$A$4*G6</f>
        <v>0</v>
      </c>
      <c r="W6" s="0" t="n">
        <f aca="false">_xlfn.BITXOR(J6,M6)</f>
        <v>1</v>
      </c>
      <c r="X6" s="0" t="n">
        <f aca="false">_xlfn.BITXOR(K6,N6)</f>
        <v>1</v>
      </c>
    </row>
    <row r="7" customFormat="false" ht="14.25" hidden="false" customHeight="false" outlineLevel="0" collapsed="false">
      <c r="B7" s="0" t="n">
        <v>1</v>
      </c>
      <c r="C7" s="0" t="n">
        <v>1</v>
      </c>
      <c r="D7" s="1" t="n">
        <f aca="false">B7+$A$4*C7</f>
        <v>2</v>
      </c>
      <c r="E7" s="1" t="n">
        <f aca="false">B7-$A$4*C7</f>
        <v>0</v>
      </c>
      <c r="F7" s="0" t="n">
        <v>0</v>
      </c>
      <c r="G7" s="0" t="n">
        <v>0</v>
      </c>
      <c r="H7" s="0" t="n">
        <f aca="false">INT(_xlfn.XOR(B7,F7))</f>
        <v>1</v>
      </c>
      <c r="I7" s="0" t="n">
        <f aca="false">INT(_xlfn.XOR(C7,G7))</f>
        <v>1</v>
      </c>
      <c r="J7" s="0" t="n">
        <f aca="false">H7+$A$4*I7</f>
        <v>2</v>
      </c>
      <c r="K7" s="0" t="n">
        <f aca="false">H7-$A$4*I7</f>
        <v>0</v>
      </c>
      <c r="M7" s="0" t="n">
        <f aca="false">F7+$A$4*G7</f>
        <v>0</v>
      </c>
      <c r="N7" s="0" t="n">
        <f aca="false">F7-$A$4*G7</f>
        <v>0</v>
      </c>
      <c r="W7" s="0" t="n">
        <f aca="false">_xlfn.BITXOR(J7,M7)</f>
        <v>2</v>
      </c>
      <c r="X7" s="0" t="n">
        <f aca="false">_xlfn.BITXOR(K7,N7)</f>
        <v>0</v>
      </c>
    </row>
    <row r="8" customFormat="false" ht="14.25" hidden="false" customHeight="false" outlineLevel="0" collapsed="false">
      <c r="B8" s="0" t="n">
        <v>0</v>
      </c>
      <c r="C8" s="0" t="n">
        <v>0</v>
      </c>
      <c r="D8" s="1" t="n">
        <f aca="false">B8+$A$4*C8</f>
        <v>0</v>
      </c>
      <c r="E8" s="1" t="n">
        <f aca="false">B8-$A$4*C8</f>
        <v>0</v>
      </c>
      <c r="F8" s="0" t="n">
        <v>0</v>
      </c>
      <c r="G8" s="0" t="n">
        <v>1</v>
      </c>
      <c r="H8" s="0" t="n">
        <f aca="false">INT(_xlfn.XOR(B8,F8))</f>
        <v>0</v>
      </c>
      <c r="I8" s="0" t="n">
        <f aca="false">INT(_xlfn.XOR(C8,G8))</f>
        <v>1</v>
      </c>
      <c r="J8" s="0" t="n">
        <f aca="false">H8+$A$4*I8</f>
        <v>1</v>
      </c>
      <c r="K8" s="0" t="n">
        <f aca="false">H8-$A$4*I8</f>
        <v>-1</v>
      </c>
      <c r="M8" s="0" t="n">
        <f aca="false">F8+$A$4*G8</f>
        <v>1</v>
      </c>
      <c r="N8" s="0" t="n">
        <f aca="false">F8-$A$4*G8</f>
        <v>-1</v>
      </c>
      <c r="W8" s="0" t="n">
        <f aca="false">_xlfn.BITXOR(J8,M8)</f>
        <v>0</v>
      </c>
      <c r="X8" s="0" t="e">
        <f aca="false">_xlfn.BITXOR(K8,N8)</f>
        <v>#VALUE!</v>
      </c>
    </row>
    <row r="9" customFormat="false" ht="14.25" hidden="false" customHeight="false" outlineLevel="0" collapsed="false">
      <c r="B9" s="0" t="n">
        <v>0</v>
      </c>
      <c r="C9" s="0" t="n">
        <v>1</v>
      </c>
      <c r="D9" s="1" t="n">
        <f aca="false">B9+$A$4*C9</f>
        <v>1</v>
      </c>
      <c r="E9" s="1" t="n">
        <f aca="false">B9-$A$4*C9</f>
        <v>-1</v>
      </c>
      <c r="F9" s="0" t="n">
        <v>0</v>
      </c>
      <c r="G9" s="0" t="n">
        <v>1</v>
      </c>
      <c r="H9" s="0" t="n">
        <f aca="false">INT(_xlfn.XOR(B9,F9))</f>
        <v>0</v>
      </c>
      <c r="I9" s="0" t="n">
        <f aca="false">INT(_xlfn.XOR(C9,G9))</f>
        <v>0</v>
      </c>
      <c r="J9" s="0" t="n">
        <f aca="false">H9+$A$4*I9</f>
        <v>0</v>
      </c>
      <c r="K9" s="0" t="n">
        <f aca="false">H9-$A$4*I9</f>
        <v>0</v>
      </c>
      <c r="M9" s="0" t="n">
        <f aca="false">F9+$A$4*G9</f>
        <v>1</v>
      </c>
      <c r="N9" s="0" t="n">
        <f aca="false">F9-$A$4*G9</f>
        <v>-1</v>
      </c>
      <c r="P9" s="1"/>
      <c r="Q9" s="1"/>
      <c r="W9" s="0" t="n">
        <f aca="false">_xlfn.BITXOR(J9,M9)</f>
        <v>1</v>
      </c>
      <c r="X9" s="0" t="e">
        <f aca="false">_xlfn.BITXOR(K9,N9)</f>
        <v>#VALUE!</v>
      </c>
    </row>
    <row r="10" customFormat="false" ht="14.25" hidden="false" customHeight="false" outlineLevel="0" collapsed="false">
      <c r="B10" s="0" t="n">
        <v>1</v>
      </c>
      <c r="C10" s="0" t="n">
        <v>0</v>
      </c>
      <c r="D10" s="1" t="n">
        <f aca="false">B10+$A$4*C10</f>
        <v>1</v>
      </c>
      <c r="E10" s="1" t="n">
        <f aca="false">B10-$A$4*C10</f>
        <v>1</v>
      </c>
      <c r="F10" s="0" t="n">
        <v>0</v>
      </c>
      <c r="G10" s="0" t="n">
        <v>1</v>
      </c>
      <c r="H10" s="0" t="n">
        <f aca="false">INT(_xlfn.XOR(B10,F10))</f>
        <v>1</v>
      </c>
      <c r="I10" s="0" t="n">
        <f aca="false">INT(_xlfn.XOR(C10,G10))</f>
        <v>1</v>
      </c>
      <c r="J10" s="0" t="n">
        <f aca="false">H10+$A$4*I10</f>
        <v>2</v>
      </c>
      <c r="K10" s="0" t="n">
        <f aca="false">H10-$A$4*I10</f>
        <v>0</v>
      </c>
      <c r="M10" s="0" t="n">
        <f aca="false">F10+$A$4*G10</f>
        <v>1</v>
      </c>
      <c r="N10" s="0" t="n">
        <f aca="false">F10-$A$4*G10</f>
        <v>-1</v>
      </c>
      <c r="W10" s="0" t="n">
        <f aca="false">_xlfn.BITXOR(J10,M10)</f>
        <v>3</v>
      </c>
      <c r="X10" s="0" t="e">
        <f aca="false">_xlfn.BITXOR(K10,N10)</f>
        <v>#VALUE!</v>
      </c>
    </row>
    <row r="11" customFormat="false" ht="14.25" hidden="false" customHeight="false" outlineLevel="0" collapsed="false">
      <c r="B11" s="0" t="n">
        <v>1</v>
      </c>
      <c r="C11" s="0" t="n">
        <v>1</v>
      </c>
      <c r="D11" s="1" t="n">
        <f aca="false">B11+$A$4*C11</f>
        <v>2</v>
      </c>
      <c r="E11" s="1" t="n">
        <f aca="false">B11-$A$4*C11</f>
        <v>0</v>
      </c>
      <c r="F11" s="0" t="n">
        <v>0</v>
      </c>
      <c r="G11" s="0" t="n">
        <v>1</v>
      </c>
      <c r="H11" s="0" t="n">
        <f aca="false">INT(_xlfn.XOR(B11,F11))</f>
        <v>1</v>
      </c>
      <c r="I11" s="0" t="n">
        <f aca="false">INT(_xlfn.XOR(C11,G11))</f>
        <v>0</v>
      </c>
      <c r="J11" s="0" t="n">
        <f aca="false">H11+$A$4*I11</f>
        <v>1</v>
      </c>
      <c r="K11" s="0" t="n">
        <f aca="false">H11-$A$4*I11</f>
        <v>1</v>
      </c>
      <c r="M11" s="0" t="n">
        <f aca="false">F11+$A$4*G11</f>
        <v>1</v>
      </c>
      <c r="N11" s="0" t="n">
        <f aca="false">F11-$A$4*G11</f>
        <v>-1</v>
      </c>
      <c r="P11" s="1"/>
      <c r="Q11" s="1"/>
      <c r="W11" s="0" t="n">
        <f aca="false">_xlfn.BITXOR(J11,M11)</f>
        <v>0</v>
      </c>
      <c r="X11" s="0" t="e">
        <f aca="false">_xlfn.BITXOR(K11,N11)</f>
        <v>#VALUE!</v>
      </c>
    </row>
    <row r="12" customFormat="false" ht="14.25" hidden="false" customHeight="false" outlineLevel="0" collapsed="false">
      <c r="B12" s="0" t="n">
        <v>0</v>
      </c>
      <c r="C12" s="0" t="n">
        <v>0</v>
      </c>
      <c r="D12" s="1" t="n">
        <f aca="false">B12+$A$4*C12</f>
        <v>0</v>
      </c>
      <c r="E12" s="1" t="n">
        <f aca="false">B12-$A$4*C12</f>
        <v>0</v>
      </c>
      <c r="F12" s="0" t="n">
        <v>1</v>
      </c>
      <c r="G12" s="0" t="n">
        <v>0</v>
      </c>
      <c r="H12" s="0" t="n">
        <f aca="false">INT(_xlfn.XOR(B12,F12))</f>
        <v>1</v>
      </c>
      <c r="I12" s="0" t="n">
        <f aca="false">INT(_xlfn.XOR(C12,G12))</f>
        <v>0</v>
      </c>
      <c r="J12" s="0" t="n">
        <f aca="false">H12+$A$4*I12</f>
        <v>1</v>
      </c>
      <c r="K12" s="0" t="n">
        <f aca="false">H12-$A$4*I12</f>
        <v>1</v>
      </c>
      <c r="M12" s="0" t="n">
        <f aca="false">F12+$A$4*G12</f>
        <v>1</v>
      </c>
      <c r="N12" s="0" t="n">
        <f aca="false">F12-$A$4*G12</f>
        <v>1</v>
      </c>
      <c r="W12" s="0" t="n">
        <f aca="false">_xlfn.BITXOR(J12,M12)</f>
        <v>0</v>
      </c>
      <c r="X12" s="0" t="n">
        <f aca="false">_xlfn.BITXOR(K12,N12)</f>
        <v>0</v>
      </c>
    </row>
    <row r="13" customFormat="false" ht="14.25" hidden="false" customHeight="false" outlineLevel="0" collapsed="false">
      <c r="B13" s="0" t="n">
        <v>0</v>
      </c>
      <c r="C13" s="0" t="n">
        <v>1</v>
      </c>
      <c r="D13" s="1" t="n">
        <f aca="false">B13+$A$4*C13</f>
        <v>1</v>
      </c>
      <c r="E13" s="1" t="n">
        <f aca="false">B13-$A$4*C13</f>
        <v>-1</v>
      </c>
      <c r="F13" s="0" t="n">
        <v>1</v>
      </c>
      <c r="G13" s="0" t="n">
        <v>0</v>
      </c>
      <c r="H13" s="0" t="n">
        <f aca="false">INT(_xlfn.XOR(B13,F13))</f>
        <v>1</v>
      </c>
      <c r="I13" s="0" t="n">
        <f aca="false">INT(_xlfn.XOR(C13,G13))</f>
        <v>1</v>
      </c>
      <c r="J13" s="0" t="n">
        <f aca="false">H13+$A$4*I13</f>
        <v>2</v>
      </c>
      <c r="K13" s="0" t="n">
        <f aca="false">H13-$A$4*I13</f>
        <v>0</v>
      </c>
      <c r="M13" s="0" t="n">
        <f aca="false">F13+$A$4*G13</f>
        <v>1</v>
      </c>
      <c r="N13" s="0" t="n">
        <f aca="false">F13-$A$4*G13</f>
        <v>1</v>
      </c>
      <c r="W13" s="0" t="n">
        <f aca="false">_xlfn.BITXOR(J13,M13)</f>
        <v>3</v>
      </c>
      <c r="X13" s="0" t="n">
        <f aca="false">_xlfn.BITXOR(K13,N13)</f>
        <v>1</v>
      </c>
    </row>
    <row r="14" customFormat="false" ht="14.25" hidden="false" customHeight="false" outlineLevel="0" collapsed="false">
      <c r="B14" s="0" t="n">
        <v>1</v>
      </c>
      <c r="C14" s="0" t="n">
        <v>0</v>
      </c>
      <c r="D14" s="1" t="n">
        <f aca="false">B14+$A$4*C14</f>
        <v>1</v>
      </c>
      <c r="E14" s="1" t="n">
        <f aca="false">B14-$A$4*C14</f>
        <v>1</v>
      </c>
      <c r="F14" s="0" t="n">
        <v>1</v>
      </c>
      <c r="G14" s="0" t="n">
        <v>0</v>
      </c>
      <c r="H14" s="0" t="n">
        <f aca="false">INT(_xlfn.XOR(B14,F14))</f>
        <v>0</v>
      </c>
      <c r="I14" s="0" t="n">
        <f aca="false">INT(_xlfn.XOR(C14,G14))</f>
        <v>0</v>
      </c>
      <c r="J14" s="0" t="n">
        <f aca="false">H14+$A$4*I14</f>
        <v>0</v>
      </c>
      <c r="K14" s="0" t="n">
        <f aca="false">H14-$A$4*I14</f>
        <v>0</v>
      </c>
      <c r="M14" s="0" t="n">
        <f aca="false">F14+$A$4*G14</f>
        <v>1</v>
      </c>
      <c r="N14" s="0" t="n">
        <f aca="false">F14-$A$4*G14</f>
        <v>1</v>
      </c>
      <c r="W14" s="0" t="n">
        <f aca="false">_xlfn.BITXOR(J14,M14)</f>
        <v>1</v>
      </c>
      <c r="X14" s="0" t="n">
        <f aca="false">_xlfn.BITXOR(K14,N14)</f>
        <v>1</v>
      </c>
    </row>
    <row r="15" customFormat="false" ht="14.25" hidden="false" customHeight="false" outlineLevel="0" collapsed="false">
      <c r="B15" s="0" t="n">
        <v>1</v>
      </c>
      <c r="C15" s="0" t="n">
        <v>1</v>
      </c>
      <c r="D15" s="1" t="n">
        <f aca="false">B15+$A$4*C15</f>
        <v>2</v>
      </c>
      <c r="E15" s="1" t="n">
        <f aca="false">B15-$A$4*C15</f>
        <v>0</v>
      </c>
      <c r="F15" s="0" t="n">
        <v>1</v>
      </c>
      <c r="G15" s="0" t="n">
        <v>0</v>
      </c>
      <c r="H15" s="0" t="n">
        <f aca="false">INT(_xlfn.XOR(B15,F15))</f>
        <v>0</v>
      </c>
      <c r="I15" s="0" t="n">
        <f aca="false">INT(_xlfn.XOR(C15,G15))</f>
        <v>1</v>
      </c>
      <c r="J15" s="0" t="n">
        <f aca="false">H15+$A$4*I15</f>
        <v>1</v>
      </c>
      <c r="K15" s="0" t="n">
        <f aca="false">H15-$A$4*I15</f>
        <v>-1</v>
      </c>
      <c r="M15" s="0" t="n">
        <f aca="false">F15+$A$4*G15</f>
        <v>1</v>
      </c>
      <c r="N15" s="0" t="n">
        <f aca="false">F15-$A$4*G15</f>
        <v>1</v>
      </c>
      <c r="W15" s="0" t="n">
        <f aca="false">_xlfn.BITXOR(J15,M15)</f>
        <v>0</v>
      </c>
      <c r="X15" s="0" t="e">
        <f aca="false">_xlfn.BITXOR(K15,N15)</f>
        <v>#VALUE!</v>
      </c>
    </row>
    <row r="16" customFormat="false" ht="14.25" hidden="false" customHeight="false" outlineLevel="0" collapsed="false">
      <c r="B16" s="0" t="n">
        <v>0</v>
      </c>
      <c r="C16" s="0" t="n">
        <v>0</v>
      </c>
      <c r="D16" s="1" t="n">
        <f aca="false">B16+$A$4*C16</f>
        <v>0</v>
      </c>
      <c r="E16" s="1" t="n">
        <f aca="false">B16-$A$4*C16</f>
        <v>0</v>
      </c>
      <c r="F16" s="0" t="n">
        <v>1</v>
      </c>
      <c r="G16" s="0" t="n">
        <v>1</v>
      </c>
      <c r="H16" s="0" t="n">
        <f aca="false">INT(_xlfn.XOR(B16,F16))</f>
        <v>1</v>
      </c>
      <c r="I16" s="0" t="n">
        <f aca="false">INT(_xlfn.XOR(C16,G16))</f>
        <v>1</v>
      </c>
      <c r="J16" s="0" t="n">
        <f aca="false">H16+$A$4*I16</f>
        <v>2</v>
      </c>
      <c r="K16" s="0" t="n">
        <f aca="false">H16-$A$4*I16</f>
        <v>0</v>
      </c>
      <c r="M16" s="0" t="n">
        <f aca="false">F16+$A$4*G16</f>
        <v>2</v>
      </c>
      <c r="N16" s="0" t="n">
        <f aca="false">F16-$A$4*G16</f>
        <v>0</v>
      </c>
      <c r="W16" s="0" t="n">
        <f aca="false">_xlfn.BITXOR(J16,M16)</f>
        <v>0</v>
      </c>
      <c r="X16" s="0" t="n">
        <f aca="false">_xlfn.BITXOR(K16,N16)</f>
        <v>0</v>
      </c>
    </row>
    <row r="17" customFormat="false" ht="14.25" hidden="false" customHeight="false" outlineLevel="0" collapsed="false">
      <c r="B17" s="0" t="n">
        <v>0</v>
      </c>
      <c r="C17" s="0" t="n">
        <v>1</v>
      </c>
      <c r="D17" s="1" t="n">
        <f aca="false">B17+$A$4*C17</f>
        <v>1</v>
      </c>
      <c r="E17" s="1" t="n">
        <f aca="false">B17-$A$4*C17</f>
        <v>-1</v>
      </c>
      <c r="F17" s="0" t="n">
        <v>1</v>
      </c>
      <c r="G17" s="0" t="n">
        <v>1</v>
      </c>
      <c r="H17" s="0" t="n">
        <f aca="false">INT(_xlfn.XOR(B17,F17))</f>
        <v>1</v>
      </c>
      <c r="I17" s="0" t="n">
        <f aca="false">INT(_xlfn.XOR(C17,G17))</f>
        <v>0</v>
      </c>
      <c r="J17" s="0" t="n">
        <f aca="false">H17+$A$4*I17</f>
        <v>1</v>
      </c>
      <c r="K17" s="0" t="n">
        <f aca="false">H17-$A$4*I17</f>
        <v>1</v>
      </c>
      <c r="M17" s="0" t="n">
        <f aca="false">F17+$A$4*G17</f>
        <v>2</v>
      </c>
      <c r="N17" s="0" t="n">
        <f aca="false">F17-$A$4*G17</f>
        <v>0</v>
      </c>
      <c r="W17" s="0" t="n">
        <f aca="false">_xlfn.BITXOR(J17,M17)</f>
        <v>3</v>
      </c>
      <c r="X17" s="0" t="n">
        <f aca="false">_xlfn.BITXOR(K17,N17)</f>
        <v>1</v>
      </c>
    </row>
    <row r="18" customFormat="false" ht="14.25" hidden="false" customHeight="false" outlineLevel="0" collapsed="false">
      <c r="B18" s="0" t="n">
        <v>1</v>
      </c>
      <c r="C18" s="0" t="n">
        <v>0</v>
      </c>
      <c r="D18" s="1" t="n">
        <f aca="false">B18+$A$4*C18</f>
        <v>1</v>
      </c>
      <c r="E18" s="1" t="n">
        <f aca="false">B18-$A$4*C18</f>
        <v>1</v>
      </c>
      <c r="F18" s="0" t="n">
        <v>1</v>
      </c>
      <c r="G18" s="0" t="n">
        <v>1</v>
      </c>
      <c r="H18" s="0" t="n">
        <f aca="false">INT(_xlfn.XOR(B18,F18))</f>
        <v>0</v>
      </c>
      <c r="I18" s="0" t="n">
        <f aca="false">INT(_xlfn.XOR(C18,G18))</f>
        <v>1</v>
      </c>
      <c r="J18" s="0" t="n">
        <f aca="false">H18+$A$4*I18</f>
        <v>1</v>
      </c>
      <c r="K18" s="0" t="n">
        <f aca="false">H18-$A$4*I18</f>
        <v>-1</v>
      </c>
      <c r="M18" s="0" t="n">
        <f aca="false">F18+$A$4*G18</f>
        <v>2</v>
      </c>
      <c r="N18" s="0" t="n">
        <f aca="false">F18-$A$4*G18</f>
        <v>0</v>
      </c>
      <c r="W18" s="0" t="n">
        <f aca="false">_xlfn.BITXOR(J18,M18)</f>
        <v>3</v>
      </c>
      <c r="X18" s="0" t="e">
        <f aca="false">_xlfn.BITXOR(K18,N18)</f>
        <v>#VALUE!</v>
      </c>
    </row>
    <row r="19" customFormat="false" ht="14.25" hidden="false" customHeight="false" outlineLevel="0" collapsed="false">
      <c r="B19" s="0" t="n">
        <v>1</v>
      </c>
      <c r="C19" s="0" t="n">
        <v>1</v>
      </c>
      <c r="D19" s="1" t="n">
        <f aca="false">B19+$A$4*C19</f>
        <v>2</v>
      </c>
      <c r="E19" s="1" t="n">
        <f aca="false">B19-$A$4*C19</f>
        <v>0</v>
      </c>
      <c r="F19" s="0" t="n">
        <v>1</v>
      </c>
      <c r="G19" s="0" t="n">
        <v>1</v>
      </c>
      <c r="H19" s="0" t="n">
        <f aca="false">INT(_xlfn.XOR(B19,F19))</f>
        <v>0</v>
      </c>
      <c r="I19" s="0" t="n">
        <f aca="false">INT(_xlfn.XOR(C19,G19))</f>
        <v>0</v>
      </c>
      <c r="J19" s="0" t="n">
        <f aca="false">H19+$A$4*I19</f>
        <v>0</v>
      </c>
      <c r="K19" s="0" t="n">
        <f aca="false">H19-$A$4*I19</f>
        <v>0</v>
      </c>
      <c r="M19" s="0" t="n">
        <f aca="false">F19+$A$4*G19</f>
        <v>2</v>
      </c>
      <c r="N19" s="0" t="n">
        <f aca="false">F19-$A$4*G19</f>
        <v>0</v>
      </c>
      <c r="W19" s="0" t="n">
        <f aca="false">_xlfn.BITXOR(J19,M19)</f>
        <v>2</v>
      </c>
      <c r="X19" s="0" t="n">
        <f aca="false">_xlfn.BITXOR(K19,N19)</f>
        <v>0</v>
      </c>
    </row>
    <row r="21" customFormat="false" ht="15" hidden="false" customHeight="false" outlineLevel="0" collapsed="false"/>
    <row r="22" customFormat="false" ht="14.25" hidden="false" customHeight="false" outlineLevel="0" collapsed="false">
      <c r="A22" s="2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/>
      <c r="M22" s="3" t="s">
        <v>12</v>
      </c>
      <c r="N22" s="3" t="s">
        <v>13</v>
      </c>
      <c r="O22" s="3"/>
      <c r="P22" s="3" t="s">
        <v>16</v>
      </c>
      <c r="Q22" s="4" t="s">
        <v>17</v>
      </c>
      <c r="S22" s="0" t="s">
        <v>18</v>
      </c>
      <c r="T22" s="0" t="s">
        <v>19</v>
      </c>
      <c r="V22" s="0" t="s">
        <v>20</v>
      </c>
    </row>
    <row r="23" customFormat="false" ht="14.25" hidden="false" customHeight="false" outlineLevel="0" collapsed="false">
      <c r="A23" s="5" t="n">
        <v>456</v>
      </c>
      <c r="B23" s="0" t="n">
        <v>0</v>
      </c>
      <c r="C23" s="0" t="n">
        <v>0</v>
      </c>
      <c r="D23" s="1" t="n">
        <f aca="false">B23+$A$4*C23</f>
        <v>0</v>
      </c>
      <c r="E23" s="1" t="n">
        <f aca="false">B23-$A$4*C23</f>
        <v>0</v>
      </c>
      <c r="F23" s="0" t="n">
        <v>5</v>
      </c>
      <c r="G23" s="0" t="n">
        <v>5</v>
      </c>
      <c r="H23" s="0" t="n">
        <f aca="false">INT(B23+F23)</f>
        <v>5</v>
      </c>
      <c r="I23" s="0" t="n">
        <f aca="false">INT(C23+G23)</f>
        <v>5</v>
      </c>
      <c r="J23" s="0" t="n">
        <f aca="false">H23+$A$4*I23</f>
        <v>10</v>
      </c>
      <c r="K23" s="0" t="n">
        <f aca="false">H23-$A$4*I23</f>
        <v>0</v>
      </c>
      <c r="M23" s="0" t="n">
        <f aca="false">F23+$A$4*G23</f>
        <v>10</v>
      </c>
      <c r="N23" s="0" t="n">
        <f aca="false">F23-$A$4*G23</f>
        <v>0</v>
      </c>
      <c r="P23" s="0" t="n">
        <f aca="false">J23-M23</f>
        <v>0</v>
      </c>
      <c r="Q23" s="6" t="n">
        <f aca="false">K23-N23</f>
        <v>0</v>
      </c>
      <c r="S23" s="7" t="b">
        <f aca="false">D23=P23</f>
        <v>1</v>
      </c>
      <c r="T23" s="7" t="b">
        <f aca="false">E23=Q23</f>
        <v>1</v>
      </c>
      <c r="V23" s="0" t="s">
        <v>21</v>
      </c>
    </row>
    <row r="24" customFormat="false" ht="14.25" hidden="false" customHeight="false" outlineLevel="0" collapsed="false">
      <c r="A24" s="5"/>
      <c r="B24" s="0" t="n">
        <v>0</v>
      </c>
      <c r="C24" s="0" t="n">
        <v>1</v>
      </c>
      <c r="D24" s="1" t="n">
        <f aca="false">B24+$A$4*C24</f>
        <v>1</v>
      </c>
      <c r="E24" s="1" t="n">
        <f aca="false">B24-$A$4*C24</f>
        <v>-1</v>
      </c>
      <c r="F24" s="0" t="n">
        <v>5</v>
      </c>
      <c r="G24" s="0" t="n">
        <v>5</v>
      </c>
      <c r="H24" s="0" t="n">
        <f aca="false">INT(B24+F24)</f>
        <v>5</v>
      </c>
      <c r="I24" s="0" t="n">
        <f aca="false">INT(C24+G24)</f>
        <v>6</v>
      </c>
      <c r="J24" s="0" t="n">
        <f aca="false">H24+$A$4*I24</f>
        <v>11</v>
      </c>
      <c r="K24" s="0" t="n">
        <f aca="false">H24-$A$4*I24</f>
        <v>-1</v>
      </c>
      <c r="M24" s="0" t="n">
        <f aca="false">F24+$A$4*G24</f>
        <v>10</v>
      </c>
      <c r="N24" s="0" t="n">
        <f aca="false">F24-$A$4*G24</f>
        <v>0</v>
      </c>
      <c r="P24" s="0" t="n">
        <f aca="false">J24-M24</f>
        <v>1</v>
      </c>
      <c r="Q24" s="6" t="n">
        <f aca="false">K24-N24</f>
        <v>-1</v>
      </c>
      <c r="S24" s="0" t="b">
        <f aca="false">D24=P24</f>
        <v>1</v>
      </c>
      <c r="T24" s="0" t="b">
        <f aca="false">E24=Q24</f>
        <v>1</v>
      </c>
      <c r="V24" s="0" t="s">
        <v>22</v>
      </c>
    </row>
    <row r="25" customFormat="false" ht="14.25" hidden="false" customHeight="false" outlineLevel="0" collapsed="false">
      <c r="A25" s="5"/>
      <c r="B25" s="0" t="n">
        <v>1</v>
      </c>
      <c r="C25" s="0" t="n">
        <v>0</v>
      </c>
      <c r="D25" s="1" t="n">
        <f aca="false">B25+$A$4*C25</f>
        <v>1</v>
      </c>
      <c r="E25" s="1" t="n">
        <f aca="false">B25-$A$4*C25</f>
        <v>1</v>
      </c>
      <c r="F25" s="0" t="n">
        <v>5</v>
      </c>
      <c r="G25" s="0" t="n">
        <v>5</v>
      </c>
      <c r="H25" s="0" t="n">
        <f aca="false">INT(B25+F25)</f>
        <v>6</v>
      </c>
      <c r="I25" s="0" t="n">
        <f aca="false">INT(C25+G25)</f>
        <v>5</v>
      </c>
      <c r="J25" s="0" t="n">
        <f aca="false">H25+$A$4*I25</f>
        <v>11</v>
      </c>
      <c r="K25" s="0" t="n">
        <f aca="false">H25-$A$4*I25</f>
        <v>1</v>
      </c>
      <c r="M25" s="0" t="n">
        <f aca="false">F25+$A$4*G25</f>
        <v>10</v>
      </c>
      <c r="N25" s="0" t="n">
        <f aca="false">F25-$A$4*G25</f>
        <v>0</v>
      </c>
      <c r="P25" s="0" t="n">
        <f aca="false">J25-M25</f>
        <v>1</v>
      </c>
      <c r="Q25" s="6" t="n">
        <f aca="false">K25-N25</f>
        <v>1</v>
      </c>
      <c r="S25" s="0" t="b">
        <f aca="false">D25=P25</f>
        <v>1</v>
      </c>
      <c r="T25" s="0" t="b">
        <f aca="false">E25=Q25</f>
        <v>1</v>
      </c>
      <c r="V25" s="0" t="s">
        <v>23</v>
      </c>
    </row>
    <row r="26" customFormat="false" ht="15" hidden="false" customHeight="false" outlineLevel="0" collapsed="false">
      <c r="A26" s="8"/>
      <c r="B26" s="9" t="n">
        <v>1</v>
      </c>
      <c r="C26" s="9" t="n">
        <v>1</v>
      </c>
      <c r="D26" s="10" t="n">
        <f aca="false">B26+$A$4*C26</f>
        <v>2</v>
      </c>
      <c r="E26" s="10" t="n">
        <f aca="false">B26-$A$4*C26</f>
        <v>0</v>
      </c>
      <c r="F26" s="9" t="n">
        <v>5</v>
      </c>
      <c r="G26" s="9" t="n">
        <v>5</v>
      </c>
      <c r="H26" s="9" t="n">
        <f aca="false">INT(B26+F26)</f>
        <v>6</v>
      </c>
      <c r="I26" s="9" t="n">
        <f aca="false">INT(C26+G26)</f>
        <v>6</v>
      </c>
      <c r="J26" s="9" t="n">
        <f aca="false">H26+$A$4*I26</f>
        <v>12</v>
      </c>
      <c r="K26" s="9" t="n">
        <f aca="false">H26-$A$4*I26</f>
        <v>0</v>
      </c>
      <c r="L26" s="9"/>
      <c r="M26" s="9" t="n">
        <f aca="false">F26+$A$4*G26</f>
        <v>10</v>
      </c>
      <c r="N26" s="9" t="n">
        <f aca="false">F26-$A$4*G26</f>
        <v>0</v>
      </c>
      <c r="O26" s="9"/>
      <c r="P26" s="9" t="n">
        <f aca="false">J26-M26</f>
        <v>2</v>
      </c>
      <c r="Q26" s="11" t="n">
        <f aca="false">K26-N26</f>
        <v>0</v>
      </c>
      <c r="S26" s="0" t="b">
        <f aca="false">D26=P26</f>
        <v>1</v>
      </c>
      <c r="T26" s="0" t="b">
        <f aca="false">E26=Q26</f>
        <v>1</v>
      </c>
      <c r="V26" s="0" t="s">
        <v>24</v>
      </c>
    </row>
    <row r="27" customFormat="false" ht="15" hidden="false" customHeight="false" outlineLevel="0" collapsed="false">
      <c r="D27" s="1"/>
      <c r="E27" s="1"/>
      <c r="V27" s="0" t="s">
        <v>25</v>
      </c>
    </row>
    <row r="28" customFormat="false" ht="14.25" hidden="false" customHeight="false" outlineLevel="0" collapsed="false">
      <c r="A28" s="2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  <c r="L28" s="3"/>
      <c r="M28" s="3" t="s">
        <v>12</v>
      </c>
      <c r="N28" s="3" t="s">
        <v>13</v>
      </c>
      <c r="O28" s="3"/>
      <c r="P28" s="3" t="s">
        <v>16</v>
      </c>
      <c r="Q28" s="4" t="s">
        <v>17</v>
      </c>
      <c r="S28" s="0" t="s">
        <v>18</v>
      </c>
      <c r="T28" s="0" t="s">
        <v>19</v>
      </c>
      <c r="V28" s="0" t="s">
        <v>26</v>
      </c>
    </row>
    <row r="29" customFormat="false" ht="14.25" hidden="false" customHeight="false" outlineLevel="0" collapsed="false">
      <c r="A29" s="5" t="n">
        <v>456</v>
      </c>
      <c r="B29" s="0" t="n">
        <v>0</v>
      </c>
      <c r="C29" s="0" t="n">
        <v>0</v>
      </c>
      <c r="D29" s="1" t="n">
        <f aca="false">B29+$A$4*C29</f>
        <v>0</v>
      </c>
      <c r="E29" s="1" t="n">
        <f aca="false">B29-$A$4*C29</f>
        <v>0</v>
      </c>
      <c r="F29" s="0" t="n">
        <v>5</v>
      </c>
      <c r="G29" s="0" t="n">
        <v>7</v>
      </c>
      <c r="H29" s="0" t="n">
        <f aca="false">INT(B29+F29)</f>
        <v>5</v>
      </c>
      <c r="I29" s="0" t="n">
        <f aca="false">INT(C29+G29)</f>
        <v>7</v>
      </c>
      <c r="J29" s="0" t="n">
        <f aca="false">H29+$A$4*I29</f>
        <v>12</v>
      </c>
      <c r="K29" s="0" t="n">
        <f aca="false">H29-$A$4*I29</f>
        <v>-2</v>
      </c>
      <c r="M29" s="0" t="n">
        <f aca="false">F29+$A$4*G29</f>
        <v>12</v>
      </c>
      <c r="N29" s="0" t="n">
        <f aca="false">F29-$A$4*G29</f>
        <v>-2</v>
      </c>
      <c r="P29" s="0" t="n">
        <f aca="false">J29-M29</f>
        <v>0</v>
      </c>
      <c r="Q29" s="6" t="n">
        <f aca="false">K29-N29</f>
        <v>0</v>
      </c>
      <c r="S29" s="7" t="b">
        <f aca="false">D29=P29</f>
        <v>1</v>
      </c>
      <c r="T29" s="7" t="b">
        <f aca="false">E29=Q29</f>
        <v>1</v>
      </c>
      <c r="V29" s="0" t="s">
        <v>27</v>
      </c>
    </row>
    <row r="30" customFormat="false" ht="14.25" hidden="false" customHeight="false" outlineLevel="0" collapsed="false">
      <c r="A30" s="5"/>
      <c r="B30" s="0" t="n">
        <v>0</v>
      </c>
      <c r="C30" s="0" t="n">
        <v>1</v>
      </c>
      <c r="D30" s="1" t="n">
        <f aca="false">B30+$A$4*C30</f>
        <v>1</v>
      </c>
      <c r="E30" s="1" t="n">
        <f aca="false">B30-$A$4*C30</f>
        <v>-1</v>
      </c>
      <c r="F30" s="0" t="n">
        <v>5</v>
      </c>
      <c r="G30" s="0" t="n">
        <v>7</v>
      </c>
      <c r="H30" s="0" t="n">
        <f aca="false">INT(B30+F30)</f>
        <v>5</v>
      </c>
      <c r="I30" s="0" t="n">
        <f aca="false">INT(C30+G30)</f>
        <v>8</v>
      </c>
      <c r="J30" s="0" t="n">
        <f aca="false">H30+$A$4*I30</f>
        <v>13</v>
      </c>
      <c r="K30" s="0" t="n">
        <f aca="false">H30-$A$4*I30</f>
        <v>-3</v>
      </c>
      <c r="M30" s="0" t="n">
        <f aca="false">F30+$A$4*G30</f>
        <v>12</v>
      </c>
      <c r="N30" s="0" t="n">
        <f aca="false">F30-$A$4*G30</f>
        <v>-2</v>
      </c>
      <c r="P30" s="0" t="n">
        <f aca="false">J30-M30</f>
        <v>1</v>
      </c>
      <c r="Q30" s="6" t="n">
        <f aca="false">K30-N30</f>
        <v>-1</v>
      </c>
      <c r="S30" s="0" t="b">
        <f aca="false">D30=P30</f>
        <v>1</v>
      </c>
      <c r="T30" s="0" t="b">
        <f aca="false">E30=Q30</f>
        <v>1</v>
      </c>
      <c r="V30" s="0" t="s">
        <v>28</v>
      </c>
    </row>
    <row r="31" customFormat="false" ht="14.25" hidden="false" customHeight="false" outlineLevel="0" collapsed="false">
      <c r="A31" s="5"/>
      <c r="B31" s="0" t="n">
        <v>1</v>
      </c>
      <c r="C31" s="0" t="n">
        <v>0</v>
      </c>
      <c r="D31" s="1" t="n">
        <f aca="false">B31+$A$4*C31</f>
        <v>1</v>
      </c>
      <c r="E31" s="1" t="n">
        <f aca="false">B31-$A$4*C31</f>
        <v>1</v>
      </c>
      <c r="F31" s="0" t="n">
        <v>5</v>
      </c>
      <c r="G31" s="0" t="n">
        <v>7</v>
      </c>
      <c r="H31" s="0" t="n">
        <f aca="false">INT(B31+F31)</f>
        <v>6</v>
      </c>
      <c r="I31" s="0" t="n">
        <f aca="false">INT(C31+G31)</f>
        <v>7</v>
      </c>
      <c r="J31" s="0" t="n">
        <f aca="false">H31+$A$4*I31</f>
        <v>13</v>
      </c>
      <c r="K31" s="0" t="n">
        <f aca="false">H31-$A$4*I31</f>
        <v>-1</v>
      </c>
      <c r="M31" s="0" t="n">
        <f aca="false">F31+$A$4*G31</f>
        <v>12</v>
      </c>
      <c r="N31" s="0" t="n">
        <f aca="false">F31-$A$4*G31</f>
        <v>-2</v>
      </c>
      <c r="P31" s="0" t="n">
        <f aca="false">J31-M31</f>
        <v>1</v>
      </c>
      <c r="Q31" s="6" t="n">
        <f aca="false">K31-N31</f>
        <v>1</v>
      </c>
      <c r="S31" s="0" t="b">
        <f aca="false">D31=P31</f>
        <v>1</v>
      </c>
      <c r="T31" s="0" t="b">
        <f aca="false">E31=Q31</f>
        <v>1</v>
      </c>
      <c r="V31" s="0" t="s">
        <v>29</v>
      </c>
    </row>
    <row r="32" customFormat="false" ht="15" hidden="false" customHeight="false" outlineLevel="0" collapsed="false">
      <c r="A32" s="8"/>
      <c r="B32" s="9" t="n">
        <v>1</v>
      </c>
      <c r="C32" s="9" t="n">
        <v>1</v>
      </c>
      <c r="D32" s="10" t="n">
        <f aca="false">B32+$A$4*C32</f>
        <v>2</v>
      </c>
      <c r="E32" s="10" t="n">
        <f aca="false">B32-$A$4*C32</f>
        <v>0</v>
      </c>
      <c r="F32" s="9" t="n">
        <v>5</v>
      </c>
      <c r="G32" s="9" t="n">
        <v>7</v>
      </c>
      <c r="H32" s="9" t="n">
        <f aca="false">INT(B32+F32)</f>
        <v>6</v>
      </c>
      <c r="I32" s="9" t="n">
        <f aca="false">INT(C32+G32)</f>
        <v>8</v>
      </c>
      <c r="J32" s="9" t="n">
        <f aca="false">H32+$A$4*I32</f>
        <v>14</v>
      </c>
      <c r="K32" s="9" t="n">
        <f aca="false">H32-$A$4*I32</f>
        <v>-2</v>
      </c>
      <c r="L32" s="9"/>
      <c r="M32" s="9" t="n">
        <f aca="false">F32+$A$4*G32</f>
        <v>12</v>
      </c>
      <c r="N32" s="9" t="n">
        <f aca="false">F32-$A$4*G32</f>
        <v>-2</v>
      </c>
      <c r="O32" s="9"/>
      <c r="P32" s="9" t="n">
        <f aca="false">J32-M32</f>
        <v>2</v>
      </c>
      <c r="Q32" s="11" t="n">
        <f aca="false">K32-N32</f>
        <v>0</v>
      </c>
      <c r="S32" s="0" t="b">
        <f aca="false">D32=P32</f>
        <v>1</v>
      </c>
      <c r="T32" s="0" t="b">
        <f aca="false">E32=Q32</f>
        <v>1</v>
      </c>
      <c r="V32" s="0" t="s">
        <v>30</v>
      </c>
    </row>
    <row r="33" customFormat="false" ht="15" hidden="false" customHeight="false" outlineLevel="0" collapsed="false">
      <c r="V33" s="0" t="s">
        <v>31</v>
      </c>
    </row>
    <row r="34" customFormat="false" ht="14.25" hidden="false" customHeight="false" outlineLevel="0" collapsed="false">
      <c r="A34" s="2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3" t="s">
        <v>7</v>
      </c>
      <c r="H34" s="3" t="s">
        <v>8</v>
      </c>
      <c r="I34" s="3" t="s">
        <v>9</v>
      </c>
      <c r="J34" s="3" t="s">
        <v>10</v>
      </c>
      <c r="K34" s="3" t="s">
        <v>11</v>
      </c>
      <c r="L34" s="3"/>
      <c r="M34" s="3" t="s">
        <v>12</v>
      </c>
      <c r="N34" s="3" t="s">
        <v>13</v>
      </c>
      <c r="O34" s="3"/>
      <c r="P34" s="3" t="s">
        <v>16</v>
      </c>
      <c r="Q34" s="4" t="s">
        <v>17</v>
      </c>
      <c r="S34" s="0" t="s">
        <v>18</v>
      </c>
      <c r="T34" s="0" t="s">
        <v>19</v>
      </c>
      <c r="V34" s="0" t="s">
        <v>32</v>
      </c>
    </row>
    <row r="35" customFormat="false" ht="14.25" hidden="false" customHeight="false" outlineLevel="0" collapsed="false">
      <c r="A35" s="5" t="n">
        <v>456</v>
      </c>
      <c r="B35" s="0" t="n">
        <v>0</v>
      </c>
      <c r="C35" s="0" t="n">
        <v>0</v>
      </c>
      <c r="D35" s="1" t="n">
        <f aca="false">B35+$A$4*C35</f>
        <v>0</v>
      </c>
      <c r="E35" s="1" t="n">
        <f aca="false">B35-$A$4*C35</f>
        <v>0</v>
      </c>
      <c r="F35" s="0" t="n">
        <v>13</v>
      </c>
      <c r="G35" s="0" t="n">
        <v>29</v>
      </c>
      <c r="H35" s="0" t="n">
        <f aca="false">INT(B35+F35)</f>
        <v>13</v>
      </c>
      <c r="I35" s="0" t="n">
        <f aca="false">INT(C35+G35)</f>
        <v>29</v>
      </c>
      <c r="J35" s="0" t="n">
        <f aca="false">H35+$A$4*I35</f>
        <v>42</v>
      </c>
      <c r="K35" s="0" t="n">
        <f aca="false">H35-$A$4*I35</f>
        <v>-16</v>
      </c>
      <c r="M35" s="0" t="n">
        <f aca="false">F35+$A$4*G35</f>
        <v>42</v>
      </c>
      <c r="N35" s="0" t="n">
        <f aca="false">F35-$A$4*G35</f>
        <v>-16</v>
      </c>
      <c r="P35" s="0" t="n">
        <f aca="false">J35-M35</f>
        <v>0</v>
      </c>
      <c r="Q35" s="6" t="n">
        <f aca="false">K35-N35</f>
        <v>0</v>
      </c>
      <c r="S35" s="7" t="b">
        <f aca="false">D35=P35</f>
        <v>1</v>
      </c>
      <c r="T35" s="7" t="b">
        <f aca="false">E35=Q35</f>
        <v>1</v>
      </c>
    </row>
    <row r="36" customFormat="false" ht="14.25" hidden="false" customHeight="false" outlineLevel="0" collapsed="false">
      <c r="A36" s="5"/>
      <c r="B36" s="0" t="n">
        <v>0</v>
      </c>
      <c r="C36" s="0" t="n">
        <v>1</v>
      </c>
      <c r="D36" s="1" t="n">
        <f aca="false">B36+$A$4*C36</f>
        <v>1</v>
      </c>
      <c r="E36" s="1" t="n">
        <f aca="false">B36-$A$4*C36</f>
        <v>-1</v>
      </c>
      <c r="F36" s="0" t="n">
        <v>13</v>
      </c>
      <c r="G36" s="0" t="n">
        <v>29</v>
      </c>
      <c r="H36" s="0" t="n">
        <f aca="false">INT(B36+F36)</f>
        <v>13</v>
      </c>
      <c r="I36" s="0" t="n">
        <f aca="false">INT(C36+G36)</f>
        <v>30</v>
      </c>
      <c r="J36" s="0" t="n">
        <f aca="false">H36+$A$4*I36</f>
        <v>43</v>
      </c>
      <c r="K36" s="0" t="n">
        <f aca="false">H36-$A$4*I36</f>
        <v>-17</v>
      </c>
      <c r="M36" s="0" t="n">
        <f aca="false">F36+$A$4*G36</f>
        <v>42</v>
      </c>
      <c r="N36" s="0" t="n">
        <f aca="false">F36-$A$4*G36</f>
        <v>-16</v>
      </c>
      <c r="P36" s="0" t="n">
        <f aca="false">J36-M36</f>
        <v>1</v>
      </c>
      <c r="Q36" s="6" t="n">
        <f aca="false">K36-N36</f>
        <v>-1</v>
      </c>
      <c r="S36" s="0" t="b">
        <f aca="false">D36=P36</f>
        <v>1</v>
      </c>
      <c r="T36" s="0" t="b">
        <f aca="false">E36=Q36</f>
        <v>1</v>
      </c>
    </row>
    <row r="37" customFormat="false" ht="14.25" hidden="false" customHeight="false" outlineLevel="0" collapsed="false">
      <c r="A37" s="5"/>
      <c r="B37" s="0" t="n">
        <v>1</v>
      </c>
      <c r="C37" s="0" t="n">
        <v>0</v>
      </c>
      <c r="D37" s="1" t="n">
        <f aca="false">B37+$A$4*C37</f>
        <v>1</v>
      </c>
      <c r="E37" s="1" t="n">
        <f aca="false">B37-$A$4*C37</f>
        <v>1</v>
      </c>
      <c r="F37" s="0" t="n">
        <v>13</v>
      </c>
      <c r="G37" s="0" t="n">
        <v>29</v>
      </c>
      <c r="H37" s="0" t="n">
        <f aca="false">INT(B37+F37)</f>
        <v>14</v>
      </c>
      <c r="I37" s="0" t="n">
        <f aca="false">INT(C37+G37)</f>
        <v>29</v>
      </c>
      <c r="J37" s="0" t="n">
        <f aca="false">H37+$A$4*I37</f>
        <v>43</v>
      </c>
      <c r="K37" s="0" t="n">
        <f aca="false">H37-$A$4*I37</f>
        <v>-15</v>
      </c>
      <c r="M37" s="0" t="n">
        <f aca="false">F37+$A$4*G37</f>
        <v>42</v>
      </c>
      <c r="N37" s="0" t="n">
        <f aca="false">F37-$A$4*G37</f>
        <v>-16</v>
      </c>
      <c r="P37" s="0" t="n">
        <f aca="false">J37-M37</f>
        <v>1</v>
      </c>
      <c r="Q37" s="6" t="n">
        <f aca="false">K37-N37</f>
        <v>1</v>
      </c>
      <c r="S37" s="0" t="b">
        <f aca="false">D37=P37</f>
        <v>1</v>
      </c>
      <c r="T37" s="0" t="b">
        <f aca="false">E37=Q37</f>
        <v>1</v>
      </c>
    </row>
    <row r="38" customFormat="false" ht="15" hidden="false" customHeight="false" outlineLevel="0" collapsed="false">
      <c r="A38" s="8"/>
      <c r="B38" s="9" t="n">
        <v>1</v>
      </c>
      <c r="C38" s="9" t="n">
        <v>1</v>
      </c>
      <c r="D38" s="10" t="n">
        <f aca="false">B38+$A$4*C38</f>
        <v>2</v>
      </c>
      <c r="E38" s="10" t="n">
        <f aca="false">B38-$A$4*C38</f>
        <v>0</v>
      </c>
      <c r="F38" s="9" t="n">
        <v>13</v>
      </c>
      <c r="G38" s="9" t="n">
        <v>29</v>
      </c>
      <c r="H38" s="9" t="n">
        <f aca="false">INT(B38+F38)</f>
        <v>14</v>
      </c>
      <c r="I38" s="9" t="n">
        <f aca="false">INT(C38+G38)</f>
        <v>30</v>
      </c>
      <c r="J38" s="9" t="n">
        <f aca="false">H38+$A$4*I38</f>
        <v>44</v>
      </c>
      <c r="K38" s="9" t="n">
        <f aca="false">H38-$A$4*I38</f>
        <v>-16</v>
      </c>
      <c r="L38" s="9"/>
      <c r="M38" s="9" t="n">
        <f aca="false">F38+$A$4*G38</f>
        <v>42</v>
      </c>
      <c r="N38" s="9" t="n">
        <f aca="false">F38-$A$4*G38</f>
        <v>-16</v>
      </c>
      <c r="O38" s="9"/>
      <c r="P38" s="9" t="n">
        <f aca="false">J38-M38</f>
        <v>2</v>
      </c>
      <c r="Q38" s="11" t="n">
        <f aca="false">K38-N38</f>
        <v>0</v>
      </c>
      <c r="S38" s="0" t="b">
        <f aca="false">D38=P38</f>
        <v>1</v>
      </c>
      <c r="T38" s="0" t="b">
        <f aca="false">E38=Q38</f>
        <v>1</v>
      </c>
    </row>
    <row r="39" customFormat="false" ht="15" hidden="false" customHeight="false" outlineLevel="0" collapsed="false"/>
    <row r="40" customFormat="false" ht="14.25" hidden="false" customHeight="false" outlineLevel="0" collapsed="false">
      <c r="A40" s="2" t="s">
        <v>1</v>
      </c>
      <c r="B40" s="3" t="s">
        <v>2</v>
      </c>
      <c r="C40" s="3" t="s">
        <v>3</v>
      </c>
      <c r="D40" s="3" t="s">
        <v>4</v>
      </c>
      <c r="E40" s="3" t="s">
        <v>5</v>
      </c>
      <c r="F40" s="3" t="s">
        <v>6</v>
      </c>
      <c r="G40" s="3" t="s">
        <v>7</v>
      </c>
      <c r="H40" s="3" t="s">
        <v>8</v>
      </c>
      <c r="I40" s="3" t="s">
        <v>9</v>
      </c>
      <c r="J40" s="3" t="s">
        <v>10</v>
      </c>
      <c r="K40" s="3" t="s">
        <v>11</v>
      </c>
      <c r="L40" s="3"/>
      <c r="M40" s="3" t="s">
        <v>12</v>
      </c>
      <c r="N40" s="3" t="s">
        <v>13</v>
      </c>
      <c r="O40" s="3"/>
      <c r="P40" s="3" t="s">
        <v>16</v>
      </c>
      <c r="Q40" s="4" t="s">
        <v>17</v>
      </c>
      <c r="S40" s="0" t="s">
        <v>18</v>
      </c>
      <c r="T40" s="0" t="s">
        <v>19</v>
      </c>
    </row>
    <row r="41" customFormat="false" ht="14.25" hidden="false" customHeight="false" outlineLevel="0" collapsed="false">
      <c r="A41" s="5" t="n">
        <v>456</v>
      </c>
      <c r="B41" s="0" t="n">
        <v>10</v>
      </c>
      <c r="C41" s="0" t="n">
        <v>20</v>
      </c>
      <c r="D41" s="1" t="n">
        <f aca="false">B41+$A$4*C41</f>
        <v>30</v>
      </c>
      <c r="E41" s="1" t="n">
        <f aca="false">B41-$A$4*C41</f>
        <v>-10</v>
      </c>
      <c r="F41" s="0" t="n">
        <v>13</v>
      </c>
      <c r="G41" s="0" t="n">
        <v>29</v>
      </c>
      <c r="H41" s="0" t="n">
        <f aca="false">INT(B41+F41)</f>
        <v>23</v>
      </c>
      <c r="I41" s="0" t="n">
        <f aca="false">INT(C41+G41)</f>
        <v>49</v>
      </c>
      <c r="J41" s="0" t="n">
        <f aca="false">H41+$A$4*I41</f>
        <v>72</v>
      </c>
      <c r="K41" s="0" t="n">
        <f aca="false">H41-$A$4*I41</f>
        <v>-26</v>
      </c>
      <c r="M41" s="0" t="n">
        <f aca="false">F41+$A$4*G41</f>
        <v>42</v>
      </c>
      <c r="N41" s="0" t="n">
        <f aca="false">F41-$A$4*G41</f>
        <v>-16</v>
      </c>
      <c r="P41" s="0" t="n">
        <f aca="false">J41-M41</f>
        <v>30</v>
      </c>
      <c r="Q41" s="6" t="n">
        <f aca="false">K41-N41</f>
        <v>-10</v>
      </c>
      <c r="S41" s="7" t="b">
        <f aca="false">D41=P41</f>
        <v>1</v>
      </c>
      <c r="T41" s="7" t="b">
        <f aca="false">E41=Q41</f>
        <v>1</v>
      </c>
    </row>
    <row r="42" customFormat="false" ht="14.25" hidden="false" customHeight="false" outlineLevel="0" collapsed="false">
      <c r="A42" s="5"/>
      <c r="B42" s="0" t="n">
        <v>10</v>
      </c>
      <c r="C42" s="0" t="n">
        <v>20</v>
      </c>
      <c r="D42" s="1" t="n">
        <f aca="false">B42+$A$4*C42</f>
        <v>30</v>
      </c>
      <c r="E42" s="1" t="n">
        <f aca="false">B42-$A$4*C42</f>
        <v>-10</v>
      </c>
      <c r="F42" s="0" t="n">
        <v>13</v>
      </c>
      <c r="G42" s="0" t="n">
        <v>29</v>
      </c>
      <c r="H42" s="0" t="n">
        <f aca="false">INT(B42+F42)</f>
        <v>23</v>
      </c>
      <c r="I42" s="0" t="n">
        <f aca="false">INT(C42+G42)</f>
        <v>49</v>
      </c>
      <c r="J42" s="0" t="n">
        <f aca="false">H42+$A$4*I42</f>
        <v>72</v>
      </c>
      <c r="K42" s="0" t="n">
        <f aca="false">H42-$A$4*I42</f>
        <v>-26</v>
      </c>
      <c r="M42" s="0" t="n">
        <f aca="false">F42+$A$4*G42</f>
        <v>42</v>
      </c>
      <c r="N42" s="0" t="n">
        <f aca="false">F42-$A$4*G42</f>
        <v>-16</v>
      </c>
      <c r="P42" s="0" t="n">
        <f aca="false">J42-M42</f>
        <v>30</v>
      </c>
      <c r="Q42" s="6" t="n">
        <f aca="false">K42-N42</f>
        <v>-10</v>
      </c>
      <c r="S42" s="0" t="b">
        <f aca="false">D42=P42</f>
        <v>1</v>
      </c>
      <c r="T42" s="0" t="b">
        <f aca="false">E42=Q42</f>
        <v>1</v>
      </c>
    </row>
    <row r="43" customFormat="false" ht="14.25" hidden="false" customHeight="false" outlineLevel="0" collapsed="false">
      <c r="A43" s="5"/>
      <c r="B43" s="0" t="n">
        <v>10</v>
      </c>
      <c r="C43" s="0" t="n">
        <v>20</v>
      </c>
      <c r="D43" s="1" t="n">
        <f aca="false">B43+$A$4*C43</f>
        <v>30</v>
      </c>
      <c r="E43" s="1" t="n">
        <f aca="false">B43-$A$4*C43</f>
        <v>-10</v>
      </c>
      <c r="F43" s="0" t="n">
        <v>13</v>
      </c>
      <c r="G43" s="0" t="n">
        <v>29</v>
      </c>
      <c r="H43" s="0" t="n">
        <f aca="false">INT(B43+F43)</f>
        <v>23</v>
      </c>
      <c r="I43" s="0" t="n">
        <f aca="false">INT(C43+G43)</f>
        <v>49</v>
      </c>
      <c r="J43" s="0" t="n">
        <f aca="false">H43+$A$4*I43</f>
        <v>72</v>
      </c>
      <c r="K43" s="0" t="n">
        <f aca="false">H43-$A$4*I43</f>
        <v>-26</v>
      </c>
      <c r="M43" s="0" t="n">
        <f aca="false">F43+$A$4*G43</f>
        <v>42</v>
      </c>
      <c r="N43" s="0" t="n">
        <f aca="false">F43-$A$4*G43</f>
        <v>-16</v>
      </c>
      <c r="P43" s="0" t="n">
        <f aca="false">J43-M43</f>
        <v>30</v>
      </c>
      <c r="Q43" s="6" t="n">
        <f aca="false">K43-N43</f>
        <v>-10</v>
      </c>
      <c r="S43" s="0" t="b">
        <f aca="false">D43=P43</f>
        <v>1</v>
      </c>
      <c r="T43" s="0" t="b">
        <f aca="false">E43=Q43</f>
        <v>1</v>
      </c>
    </row>
    <row r="44" customFormat="false" ht="15" hidden="false" customHeight="false" outlineLevel="0" collapsed="false">
      <c r="A44" s="8"/>
      <c r="B44" s="9" t="n">
        <v>10</v>
      </c>
      <c r="C44" s="9" t="n">
        <v>20</v>
      </c>
      <c r="D44" s="10" t="n">
        <f aca="false">B44+$A$4*C44</f>
        <v>30</v>
      </c>
      <c r="E44" s="10" t="n">
        <f aca="false">B44-$A$4*C44</f>
        <v>-10</v>
      </c>
      <c r="F44" s="9" t="n">
        <v>13</v>
      </c>
      <c r="G44" s="9" t="n">
        <v>29</v>
      </c>
      <c r="H44" s="9" t="n">
        <f aca="false">INT(B44+F44)</f>
        <v>23</v>
      </c>
      <c r="I44" s="9" t="n">
        <f aca="false">INT(C44+G44)</f>
        <v>49</v>
      </c>
      <c r="J44" s="9" t="n">
        <f aca="false">H44+$A$4*I44</f>
        <v>72</v>
      </c>
      <c r="K44" s="9" t="n">
        <f aca="false">H44-$A$4*I44</f>
        <v>-26</v>
      </c>
      <c r="L44" s="9"/>
      <c r="M44" s="9" t="n">
        <f aca="false">F44+$A$4*G44</f>
        <v>42</v>
      </c>
      <c r="N44" s="9" t="n">
        <f aca="false">F44-$A$4*G44</f>
        <v>-16</v>
      </c>
      <c r="O44" s="9"/>
      <c r="P44" s="9" t="n">
        <f aca="false">J44-M44</f>
        <v>30</v>
      </c>
      <c r="Q44" s="11" t="n">
        <f aca="false">K44-N44</f>
        <v>-10</v>
      </c>
      <c r="S44" s="0" t="b">
        <f aca="false">D44=P44</f>
        <v>1</v>
      </c>
      <c r="T44" s="0" t="b">
        <f aca="false">E44=Q44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Anh Tuan Hoang</dc:creator>
  <dc:description/>
  <dc:language>en-GB</dc:language>
  <cp:lastModifiedBy/>
  <dcterms:modified xsi:type="dcterms:W3CDTF">2025-08-27T15:38:45Z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